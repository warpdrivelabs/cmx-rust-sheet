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损益表" sheetId="1" r:id="rId1"/>
  </sheets>
</workbook>
</file>

<file path=xl/sharedStrings.xml><?xml version="1.0" encoding="utf-8"?>
<sst xmlns="http://schemas.openxmlformats.org/spreadsheetml/2006/main" count="14" uniqueCount="14">
  <si>
    <t xml:space="preserve">XX 公司 · 季度损益表</t>
  </si>
  <si>
    <t xml:space="preserve">项目</t>
  </si>
  <si>
    <t xml:space="preserve">Q1</t>
  </si>
  <si>
    <t xml:space="preserve">Q2</t>
  </si>
  <si>
    <t xml:space="preserve">Q3</t>
  </si>
  <si>
    <t xml:space="preserve">合计</t>
  </si>
  <si>
    <t xml:space="preserve">营业收入</t>
  </si>
  <si>
    <t xml:space="preserve">营业成本</t>
  </si>
  <si>
    <t xml:space="preserve">销售费用</t>
  </si>
  <si>
    <t xml:space="preserve">管理费用</t>
  </si>
  <si>
    <t xml:space="preserve">研发费用</t>
  </si>
  <si>
    <t xml:space="preserve">毛利</t>
  </si>
  <si>
    <t xml:space="preserve">净利润</t>
  </si>
  <si>
    <t xml:space="preserve">毛利率</t>
  </si>
</sst>
</file>

<file path=xl/styles.xml><?xml version="1.0" encoding="utf-8"?>
<styleSheet xmlns="http://schemas.openxmlformats.org/spreadsheetml/2006/main">
  <numFmts count="1">
    <numFmt numFmtId="164" formatCode="0.0%"/>
  </numFmts>
  <fonts count="6">
    <font>
      <sz val="11"/>
      <name val="Calibri"/>
    </font>
    <font>
      <b/>
      <sz val="11"/>
      <color rgb="FF1A2138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8312D"/>
      <name val="Calibri"/>
    </font>
    <font>
      <sz val="11"/>
      <color rgb="FF7C5C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7CFF"/>
        <bgColor indexed="64"/>
      </patternFill>
    </fill>
    <fill>
      <patternFill patternType="solid">
        <fgColor rgb="FFEEF1FB"/>
        <bgColor indexed="64"/>
      </patternFill>
    </fill>
    <fill>
      <patternFill patternType="solid">
        <fgColor rgb="FF23D5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cols>
    <col min="1" max="1" width="28.57" customWidth="1"/>
    <col min="2" max="2" width="15.71" customWidth="1"/>
    <col min="3" max="3" width="15.71" customWidth="1"/>
    <col min="4" max="4" width="15.71" customWidth="1"/>
    <col min="5" max="5" width="15.71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>
        <v>1200</v>
      </c>
      <c r="C4">
        <v>1380</v>
      </c>
      <c r="D4">
        <v>1510</v>
      </c>
      <c r="E4">
        <f>SUM(B4:D4)</f>
        <v>4090</v>
      </c>
    </row>
    <row r="5">
      <c r="A5" t="s">
        <v>7</v>
      </c>
      <c r="B5">
        <v>720</v>
      </c>
      <c r="C5">
        <v>810</v>
      </c>
      <c r="D5">
        <v>905</v>
      </c>
      <c r="E5">
        <f>SUM(B5:D5)</f>
        <v>2435</v>
      </c>
    </row>
    <row r="6">
      <c r="A6" t="s">
        <v>8</v>
      </c>
      <c r="B6">
        <v>160</v>
      </c>
      <c r="C6">
        <v>175</v>
      </c>
      <c r="D6">
        <v>190</v>
      </c>
      <c r="E6">
        <f>SUM(B6:D6)</f>
        <v>525</v>
      </c>
    </row>
    <row r="7">
      <c r="A7" t="s">
        <v>9</v>
      </c>
      <c r="B7">
        <v>95</v>
      </c>
      <c r="C7">
        <v>102</v>
      </c>
      <c r="D7">
        <v>110</v>
      </c>
      <c r="E7">
        <f>SUM(B7:D7)</f>
        <v>307</v>
      </c>
    </row>
    <row r="8">
      <c r="A8" t="s">
        <v>10</v>
      </c>
      <c r="B8">
        <v>140</v>
      </c>
      <c r="C8">
        <v>168</v>
      </c>
      <c r="D8">
        <v>205</v>
      </c>
      <c r="E8">
        <f>SUM(B8:D8)</f>
        <v>513</v>
      </c>
    </row>
    <row r="9">
      <c r="A9" s="3" t="s">
        <v>11</v>
      </c>
      <c r="B9" s="3">
        <f>B4-B5</f>
        <v>480</v>
      </c>
      <c r="C9" s="3">
        <f>C4-C5</f>
        <v>570</v>
      </c>
      <c r="D9" s="3">
        <f>D4-D5</f>
        <v>605</v>
      </c>
      <c r="E9" s="3">
        <f>SUM(B9:D9)</f>
        <v>1655</v>
      </c>
    </row>
    <row r="10">
      <c r="A10" s="4" t="s">
        <v>12</v>
      </c>
      <c r="B10" s="4">
        <f>B9-B6-B7-B8</f>
        <v>85</v>
      </c>
      <c r="C10" s="4">
        <f>C9-C6-C7-C8</f>
        <v>125</v>
      </c>
      <c r="D10" s="4">
        <f>D9-D6-D7-D8</f>
        <v>100</v>
      </c>
      <c r="E10" s="4">
        <f>SUM(B10:D10)</f>
        <v>310</v>
      </c>
    </row>
    <row r="12">
      <c r="A12" t="s">
        <v>13</v>
      </c>
      <c r="B12" s="5">
        <f>B9/B4</f>
        <v>0.4</v>
      </c>
      <c r="C12" s="5">
        <f>C9/C4</f>
        <v>0.41304347826086957</v>
      </c>
      <c r="D12" s="5">
        <f>D9/D4</f>
        <v>0.40066225165562913</v>
      </c>
    </row>
  </sheetData>
</worksheet>
</file>